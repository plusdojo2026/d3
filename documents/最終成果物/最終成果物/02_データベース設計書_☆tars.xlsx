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xtcloud-3plus\内部共有用\04_取引案件別\19_SEプラス\2026_PlusDojo\6月\PlusDojo6月作成ドキュメントテンプレート\"/>
    </mc:Choice>
  </mc:AlternateContent>
  <xr:revisionPtr revIDLastSave="307" documentId="13_ncr:1_{86607413-9090-43E4-8B5E-149280F3154D}" xr6:coauthVersionLast="47" xr6:coauthVersionMax="47" xr10:uidLastSave="{8DB96756-EE2A-40E6-8102-71E9D38A8EA6}"/>
  <bookViews>
    <workbookView xWindow="-9210" yWindow="-17820" windowWidth="21600" windowHeight="12650" firstSheet="3" activeTab="5" xr2:uid="{00000000-000D-0000-FFFF-FFFF00000000}"/>
  </bookViews>
  <sheets>
    <sheet name="テーブル一覧" sheetId="1" r:id="rId1"/>
    <sheet name="idpw" sheetId="2" r:id="rId2"/>
    <sheet name="coffee" sheetId="3" r:id="rId3"/>
    <sheet name="履歴" sheetId="4" r:id="rId4"/>
    <sheet name="likecoffee" sheetId="6" r:id="rId5"/>
    <sheet name="food" sheetId="5" r:id="rId6"/>
    <sheet name="個人用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7" l="1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29" i="3"/>
  <c r="L28" i="3"/>
  <c r="L27" i="3"/>
  <c r="L26" i="3"/>
  <c r="L25" i="3"/>
  <c r="L24" i="3"/>
  <c r="L23" i="3"/>
  <c r="L22" i="3"/>
  <c r="L21" i="3"/>
  <c r="L19" i="3"/>
  <c r="L17" i="3"/>
  <c r="L16" i="3"/>
  <c r="L15" i="3"/>
  <c r="L14" i="3"/>
  <c r="L13" i="3"/>
  <c r="L12" i="3"/>
  <c r="L11" i="3"/>
  <c r="L10" i="3"/>
  <c r="L9" i="3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</calcChain>
</file>

<file path=xl/sharedStrings.xml><?xml version="1.0" encoding="utf-8"?>
<sst xmlns="http://schemas.openxmlformats.org/spreadsheetml/2006/main" count="297" uniqueCount="113">
  <si>
    <t>テーブル一覧</t>
    <rPh sb="4" eb="6">
      <t>イチラン</t>
    </rPh>
    <phoneticPr fontId="1"/>
  </si>
  <si>
    <t>チーム名</t>
    <rPh sb="3" eb="4">
      <t>ナ</t>
    </rPh>
    <phoneticPr fontId="1"/>
  </si>
  <si>
    <t>☆tars</t>
  </si>
  <si>
    <t>作成者</t>
    <rPh sb="0" eb="3">
      <t>サクセイシャ</t>
    </rPh>
    <phoneticPr fontId="1"/>
  </si>
  <si>
    <t>冨川遼大</t>
  </si>
  <si>
    <t>システム名</t>
    <rPh sb="4" eb="5">
      <t>ナ</t>
    </rPh>
    <phoneticPr fontId="1"/>
  </si>
  <si>
    <t>blew list</t>
  </si>
  <si>
    <t>作成日</t>
    <rPh sb="0" eb="3">
      <t>サクセイビ</t>
    </rPh>
    <phoneticPr fontId="1"/>
  </si>
  <si>
    <t>更新者</t>
    <rPh sb="0" eb="3">
      <t>コウシンシャ</t>
    </rPh>
    <phoneticPr fontId="1"/>
  </si>
  <si>
    <t>更新日</t>
    <rPh sb="0" eb="3">
      <t>コウシンビ</t>
    </rPh>
    <phoneticPr fontId="1"/>
  </si>
  <si>
    <t>No</t>
    <phoneticPr fontId="1"/>
  </si>
  <si>
    <t>論理名</t>
    <rPh sb="0" eb="2">
      <t>ロンリ</t>
    </rPh>
    <rPh sb="2" eb="3">
      <t>メイ</t>
    </rPh>
    <phoneticPr fontId="1"/>
  </si>
  <si>
    <t>物理名</t>
    <rPh sb="0" eb="2">
      <t>ブツリ</t>
    </rPh>
    <rPh sb="2" eb="3">
      <t>メイ</t>
    </rPh>
    <phoneticPr fontId="1"/>
  </si>
  <si>
    <t>タイプ</t>
    <phoneticPr fontId="1"/>
  </si>
  <si>
    <t>備考</t>
    <rPh sb="0" eb="2">
      <t>ビコウ</t>
    </rPh>
    <phoneticPr fontId="1"/>
  </si>
  <si>
    <t>ID、パスワード</t>
  </si>
  <si>
    <t>idpw</t>
  </si>
  <si>
    <t>テーブル</t>
  </si>
  <si>
    <t>コーヒー情報</t>
  </si>
  <si>
    <t>coffee</t>
  </si>
  <si>
    <t>履歴</t>
  </si>
  <si>
    <t>history</t>
  </si>
  <si>
    <t>コーヒー情報と組み合わせる</t>
  </si>
  <si>
    <t>セット軽食</t>
  </si>
  <si>
    <t>food</t>
  </si>
  <si>
    <t>コーヒー情報と組み合わせる。</t>
  </si>
  <si>
    <t>コーヒーのお気に入り情報</t>
  </si>
  <si>
    <t>likecoffee</t>
  </si>
  <si>
    <t>コーヒー情報とidパスワードと組み合わせる</t>
  </si>
  <si>
    <t>個人の値</t>
  </si>
  <si>
    <t>personal</t>
  </si>
  <si>
    <t>ユーザー個人で設定した値</t>
  </si>
  <si>
    <t>冨川</t>
  </si>
  <si>
    <t>Brew List</t>
  </si>
  <si>
    <t>テーブル論理名</t>
    <rPh sb="4" eb="6">
      <t>ロンリ</t>
    </rPh>
    <rPh sb="6" eb="7">
      <t>メイ</t>
    </rPh>
    <phoneticPr fontId="1"/>
  </si>
  <si>
    <t>ユーザーテーブル</t>
  </si>
  <si>
    <t>テーブル物理名</t>
    <rPh sb="4" eb="6">
      <t>ブツリ</t>
    </rPh>
    <rPh sb="6" eb="7">
      <t>メイ</t>
    </rPh>
    <phoneticPr fontId="1"/>
  </si>
  <si>
    <t>データ型</t>
    <rPh sb="3" eb="4">
      <t>カタ</t>
    </rPh>
    <phoneticPr fontId="1"/>
  </si>
  <si>
    <t>サイズ</t>
    <phoneticPr fontId="1"/>
  </si>
  <si>
    <t>主キー</t>
    <rPh sb="0" eb="1">
      <t>シュ</t>
    </rPh>
    <phoneticPr fontId="1"/>
  </si>
  <si>
    <t>AI</t>
    <phoneticPr fontId="1"/>
  </si>
  <si>
    <t>Not null</t>
    <phoneticPr fontId="1"/>
  </si>
  <si>
    <t>デフォルト値</t>
    <rPh sb="5" eb="6">
      <t>アタイ</t>
    </rPh>
    <phoneticPr fontId="1"/>
  </si>
  <si>
    <t>番号</t>
  </si>
  <si>
    <t>id</t>
  </si>
  <si>
    <t>int</t>
  </si>
  <si>
    <t>〇</t>
  </si>
  <si>
    <t>メールアドレス</t>
  </si>
  <si>
    <t>email</t>
  </si>
  <si>
    <t>VARCHAR</t>
  </si>
  <si>
    <t>ユーザー名</t>
  </si>
  <si>
    <t>user</t>
  </si>
  <si>
    <t>パスワード</t>
  </si>
  <si>
    <t>password</t>
  </si>
  <si>
    <t>コーヒーの濃さ</t>
  </si>
  <si>
    <t>mylevel</t>
  </si>
  <si>
    <t>1があっさり2が普通3が濃いめ</t>
  </si>
  <si>
    <t>)</t>
    <phoneticPr fontId="1"/>
  </si>
  <si>
    <t>コーヒーID</t>
  </si>
  <si>
    <t>coffeenumber</t>
  </si>
  <si>
    <t>コーヒー名</t>
  </si>
  <si>
    <t>name</t>
  </si>
  <si>
    <t>値段</t>
  </si>
  <si>
    <t>valu</t>
  </si>
  <si>
    <t>量</t>
  </si>
  <si>
    <t>size</t>
  </si>
  <si>
    <t>ブランド名</t>
  </si>
  <si>
    <t>bland</t>
  </si>
  <si>
    <t>産地</t>
  </si>
  <si>
    <t>area</t>
  </si>
  <si>
    <t>店</t>
  </si>
  <si>
    <t>shop</t>
  </si>
  <si>
    <t>店舗名</t>
  </si>
  <si>
    <t>shopname</t>
  </si>
  <si>
    <t>level</t>
  </si>
  <si>
    <t>濃さの値で0がさわやか1が普通、2が濃いめ</t>
  </si>
  <si>
    <t>コーヒーの写真</t>
  </si>
  <si>
    <t>picture</t>
  </si>
  <si>
    <t>リンクで写真を作る</t>
  </si>
  <si>
    <t>Brew list</t>
  </si>
  <si>
    <t>關口起士</t>
  </si>
  <si>
    <t>履歴id</t>
  </si>
  <si>
    <t>historyid</t>
  </si>
  <si>
    <t>number</t>
  </si>
  <si>
    <t>外部キー</t>
  </si>
  <si>
    <t>coffeeのnumbeｒと連携</t>
  </si>
  <si>
    <t>ユーザー識別</t>
  </si>
  <si>
    <t>userid</t>
  </si>
  <si>
    <t>id pw参照</t>
  </si>
  <si>
    <t>日時</t>
  </si>
  <si>
    <t>viewdate</t>
  </si>
  <si>
    <t>DATETIME</t>
  </si>
  <si>
    <t>ユーザー番号</t>
  </si>
  <si>
    <t>usernumber</t>
  </si>
  <si>
    <t>IdPwのidを参照</t>
  </si>
  <si>
    <t>coffeeid</t>
  </si>
  <si>
    <t>軽食情報</t>
  </si>
  <si>
    <t>foodlevel</t>
  </si>
  <si>
    <t>coffeeのlevelと連携</t>
  </si>
  <si>
    <t>軽食の名前</t>
  </si>
  <si>
    <t>foodname</t>
  </si>
  <si>
    <t>解説</t>
  </si>
  <si>
    <t>foodmemo</t>
  </si>
  <si>
    <t>フードのこゆうID</t>
  </si>
  <si>
    <t>foodnomber</t>
  </si>
  <si>
    <t>ユーザーID</t>
  </si>
  <si>
    <t>personaluserid</t>
  </si>
  <si>
    <t>idpwのidと連携</t>
  </si>
  <si>
    <t>自分設定値段</t>
  </si>
  <si>
    <t>new_valu</t>
  </si>
  <si>
    <t>memo</t>
  </si>
  <si>
    <t>自分で書くメモなので最初は何も書いてない</t>
  </si>
  <si>
    <t>personalcoffeeid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</si>
</sst>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14" fontId="0" fillId="0" borderId="1" xfId="0" applyNumberFormat="1" applyBorder="1">
      <alignment vertical="center"/>
    </xf>
    <xf numFmtId="0" fontId="0" fillId="0" borderId="0" xfId="0" applyFont="1">
      <alignment vertical="center"/>
    </xf>
    <xf numFmtId="0" fontId="0" fillId="0" borderId="3" xfId="0" applyBorder="1">
      <alignment vertical="center"/>
    </xf>
    <xf numFmtId="0" fontId="0" fillId="2" borderId="2" xfId="0" applyFill="1" applyBorder="1">
      <alignment vertical="center"/>
    </xf>
    <xf numFmtId="0" fontId="0" fillId="2" borderId="4" xfId="0" applyFill="1" applyBorder="1">
      <alignment vertical="center"/>
    </xf>
    <xf numFmtId="0" fontId="3" fillId="0" borderId="3" xfId="0" applyFont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3" fillId="0" borderId="6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8"/>
  <sheetViews>
    <sheetView workbookViewId="0">
      <selection activeCell="F13" sqref="F13"/>
    </sheetView>
  </sheetViews>
  <sheetFormatPr defaultRowHeight="13.5"/>
  <cols>
    <col min="2" max="2" width="12.42578125" bestFit="1" customWidth="1"/>
    <col min="3" max="3" width="25.42578125" customWidth="1"/>
    <col min="4" max="4" width="17.85546875" customWidth="1"/>
    <col min="5" max="5" width="21.42578125" customWidth="1"/>
    <col min="6" max="6" width="58.5703125" customWidth="1"/>
  </cols>
  <sheetData>
    <row r="1" spans="1:6" ht="18.75">
      <c r="A1" s="4" t="s">
        <v>0</v>
      </c>
    </row>
    <row r="2" spans="1:6">
      <c r="B2" s="1" t="s">
        <v>1</v>
      </c>
      <c r="C2" s="2" t="s">
        <v>2</v>
      </c>
      <c r="D2" s="1" t="s">
        <v>3</v>
      </c>
      <c r="E2" s="3" t="s">
        <v>4</v>
      </c>
    </row>
    <row r="3" spans="1:6">
      <c r="B3" s="1" t="s">
        <v>5</v>
      </c>
      <c r="C3" s="2" t="s">
        <v>6</v>
      </c>
      <c r="D3" s="1" t="s">
        <v>7</v>
      </c>
      <c r="E3" s="5">
        <v>46183</v>
      </c>
    </row>
    <row r="4" spans="1:6">
      <c r="D4" s="1" t="s">
        <v>8</v>
      </c>
      <c r="E4" s="3"/>
    </row>
    <row r="5" spans="1:6">
      <c r="D5" s="1" t="s">
        <v>9</v>
      </c>
      <c r="E5" s="3"/>
    </row>
    <row r="7" spans="1:6"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</row>
    <row r="8" spans="1:6">
      <c r="B8" s="3">
        <v>1</v>
      </c>
      <c r="C8" s="3" t="s">
        <v>15</v>
      </c>
      <c r="D8" s="3" t="s">
        <v>16</v>
      </c>
      <c r="E8" s="3" t="s">
        <v>17</v>
      </c>
      <c r="F8" s="3"/>
    </row>
    <row r="9" spans="1:6">
      <c r="B9" s="3">
        <v>2</v>
      </c>
      <c r="C9" s="3" t="s">
        <v>18</v>
      </c>
      <c r="D9" s="3" t="s">
        <v>19</v>
      </c>
      <c r="E9" s="3" t="s">
        <v>17</v>
      </c>
      <c r="F9" s="3"/>
    </row>
    <row r="10" spans="1:6">
      <c r="B10" s="3">
        <v>3</v>
      </c>
      <c r="C10" s="3" t="s">
        <v>20</v>
      </c>
      <c r="D10" s="3" t="s">
        <v>21</v>
      </c>
      <c r="E10" s="3" t="s">
        <v>17</v>
      </c>
      <c r="F10" s="3" t="s">
        <v>22</v>
      </c>
    </row>
    <row r="11" spans="1:6">
      <c r="B11" s="3">
        <v>4</v>
      </c>
      <c r="C11" s="3" t="s">
        <v>23</v>
      </c>
      <c r="D11" s="3" t="s">
        <v>24</v>
      </c>
      <c r="E11" s="3" t="s">
        <v>17</v>
      </c>
      <c r="F11" s="3" t="s">
        <v>25</v>
      </c>
    </row>
    <row r="12" spans="1:6">
      <c r="B12" s="3">
        <v>5</v>
      </c>
      <c r="C12" s="3" t="s">
        <v>26</v>
      </c>
      <c r="D12" s="3" t="s">
        <v>27</v>
      </c>
      <c r="E12" s="3" t="s">
        <v>17</v>
      </c>
      <c r="F12" s="3" t="s">
        <v>28</v>
      </c>
    </row>
    <row r="13" spans="1:6">
      <c r="B13" s="3">
        <v>6</v>
      </c>
      <c r="C13" s="3" t="s">
        <v>29</v>
      </c>
      <c r="D13" s="3" t="s">
        <v>30</v>
      </c>
      <c r="E13" s="3" t="s">
        <v>17</v>
      </c>
      <c r="F13" s="3" t="s">
        <v>31</v>
      </c>
    </row>
    <row r="14" spans="1:6">
      <c r="B14" s="3">
        <v>7</v>
      </c>
      <c r="D14" s="3"/>
      <c r="E14" s="3"/>
      <c r="F14" s="3"/>
    </row>
    <row r="15" spans="1:6">
      <c r="B15" s="3">
        <v>8</v>
      </c>
      <c r="C15" s="3"/>
      <c r="D15" s="3"/>
      <c r="E15" s="3"/>
      <c r="F15" s="3"/>
    </row>
    <row r="16" spans="1:6">
      <c r="B16" s="3">
        <v>9</v>
      </c>
      <c r="C16" s="3"/>
      <c r="D16" s="3"/>
      <c r="E16" s="3"/>
      <c r="F16" s="3"/>
    </row>
    <row r="17" spans="2:6">
      <c r="B17" s="3">
        <v>10</v>
      </c>
      <c r="C17" s="3"/>
      <c r="D17" s="3"/>
      <c r="E17" s="3"/>
      <c r="F17" s="3"/>
    </row>
    <row r="18" spans="2:6">
      <c r="B18" s="3">
        <v>11</v>
      </c>
      <c r="C18" s="3"/>
      <c r="D18" s="3"/>
      <c r="E18" s="3"/>
      <c r="F18" s="3"/>
    </row>
    <row r="19" spans="2:6">
      <c r="B19" s="3">
        <v>12</v>
      </c>
      <c r="C19" s="3"/>
      <c r="D19" s="3"/>
      <c r="E19" s="3"/>
      <c r="F19" s="3"/>
    </row>
    <row r="20" spans="2:6">
      <c r="B20" s="3">
        <v>13</v>
      </c>
      <c r="C20" s="3"/>
      <c r="D20" s="3"/>
      <c r="E20" s="3"/>
      <c r="F20" s="3"/>
    </row>
    <row r="21" spans="2:6">
      <c r="B21" s="3">
        <v>14</v>
      </c>
      <c r="C21" s="3"/>
      <c r="D21" s="3"/>
      <c r="E21" s="3"/>
      <c r="F21" s="3"/>
    </row>
    <row r="22" spans="2:6">
      <c r="B22" s="3">
        <v>15</v>
      </c>
      <c r="C22" s="3"/>
      <c r="D22" s="3"/>
      <c r="E22" s="3"/>
      <c r="F22" s="3"/>
    </row>
    <row r="23" spans="2:6">
      <c r="B23" s="3">
        <v>16</v>
      </c>
      <c r="C23" s="3"/>
      <c r="D23" s="3"/>
      <c r="E23" s="3"/>
      <c r="F23" s="3"/>
    </row>
    <row r="24" spans="2:6">
      <c r="B24" s="3">
        <v>17</v>
      </c>
      <c r="C24" s="3"/>
      <c r="D24" s="3"/>
      <c r="E24" s="3"/>
      <c r="F24" s="3"/>
    </row>
    <row r="25" spans="2:6">
      <c r="B25" s="3">
        <v>18</v>
      </c>
      <c r="C25" s="3"/>
      <c r="D25" s="3"/>
      <c r="E25" s="3"/>
      <c r="F25" s="3"/>
    </row>
    <row r="26" spans="2:6">
      <c r="B26" s="3">
        <v>19</v>
      </c>
      <c r="C26" s="3"/>
      <c r="D26" s="3"/>
      <c r="E26" s="3"/>
      <c r="F26" s="3"/>
    </row>
    <row r="27" spans="2:6">
      <c r="B27" s="3">
        <v>20</v>
      </c>
      <c r="C27" s="3"/>
      <c r="D27" s="3"/>
      <c r="E27" s="3"/>
      <c r="F27" s="3"/>
    </row>
    <row r="28" spans="2:6">
      <c r="B28" s="3">
        <v>21</v>
      </c>
      <c r="C28" s="3"/>
      <c r="D28" s="3"/>
      <c r="E28" s="3"/>
      <c r="F28" s="3"/>
    </row>
    <row r="29" spans="2:6">
      <c r="B29" s="3">
        <v>22</v>
      </c>
      <c r="C29" s="3"/>
      <c r="D29" s="3"/>
      <c r="E29" s="3"/>
      <c r="F29" s="3"/>
    </row>
    <row r="30" spans="2:6">
      <c r="B30" s="3">
        <v>23</v>
      </c>
      <c r="C30" s="3"/>
      <c r="D30" s="3"/>
      <c r="E30" s="3"/>
      <c r="F30" s="3"/>
    </row>
    <row r="31" spans="2:6">
      <c r="B31" s="3">
        <v>24</v>
      </c>
      <c r="C31" s="3"/>
      <c r="D31" s="3"/>
      <c r="E31" s="3"/>
      <c r="F31" s="3"/>
    </row>
    <row r="32" spans="2:6">
      <c r="B32" s="3">
        <v>25</v>
      </c>
      <c r="C32" s="3"/>
      <c r="D32" s="3"/>
      <c r="E32" s="3"/>
      <c r="F32" s="3"/>
    </row>
    <row r="33" spans="2:6">
      <c r="B33" s="3">
        <v>26</v>
      </c>
      <c r="C33" s="3"/>
      <c r="D33" s="3"/>
      <c r="E33" s="3"/>
      <c r="F33" s="3"/>
    </row>
    <row r="34" spans="2:6">
      <c r="B34" s="3">
        <v>27</v>
      </c>
      <c r="C34" s="3"/>
      <c r="D34" s="3"/>
      <c r="E34" s="3"/>
      <c r="F34" s="3"/>
    </row>
    <row r="35" spans="2:6">
      <c r="B35" s="3">
        <v>28</v>
      </c>
      <c r="C35" s="3"/>
      <c r="D35" s="3"/>
      <c r="E35" s="3"/>
      <c r="F35" s="3"/>
    </row>
    <row r="36" spans="2:6">
      <c r="B36" s="3">
        <v>29</v>
      </c>
      <c r="C36" s="3"/>
      <c r="D36" s="3"/>
      <c r="E36" s="3"/>
      <c r="F36" s="3"/>
    </row>
    <row r="37" spans="2:6">
      <c r="B37" s="3">
        <v>30</v>
      </c>
      <c r="C37" s="3"/>
      <c r="D37" s="3"/>
      <c r="E37" s="3"/>
      <c r="F37" s="3"/>
    </row>
    <row r="38" spans="2:6">
      <c r="B38" s="3">
        <v>31</v>
      </c>
      <c r="C38" s="3"/>
      <c r="D38" s="3"/>
      <c r="E38" s="3"/>
      <c r="F38" s="3"/>
    </row>
  </sheetData>
  <phoneticPr fontId="1"/>
  <pageMargins left="0.70866141732283472" right="0.70866141732283472" top="0.74803149606299213" bottom="0.74803149606299213" header="0.31496062992125984" footer="0.31496062992125984"/>
  <pageSetup paperSize="9" scale="9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"/>
  <sheetViews>
    <sheetView workbookViewId="0">
      <selection activeCell="D19" sqref="D19"/>
    </sheetView>
  </sheetViews>
  <sheetFormatPr defaultRowHeight="13.5"/>
  <cols>
    <col min="2" max="2" width="16.140625" customWidth="1"/>
    <col min="3" max="3" width="19.42578125" customWidth="1"/>
    <col min="4" max="4" width="16.28515625" customWidth="1"/>
    <col min="5" max="5" width="16.42578125" customWidth="1"/>
    <col min="6" max="6" width="9.7109375" customWidth="1"/>
    <col min="7" max="7" width="7.28515625" customWidth="1"/>
    <col min="8" max="8" width="9.42578125" customWidth="1"/>
    <col min="9" max="9" width="11.28515625" bestFit="1" customWidth="1"/>
    <col min="10" max="10" width="33.85546875" customWidth="1"/>
  </cols>
  <sheetData>
    <row r="1" spans="1:12" ht="18.75">
      <c r="A1" s="4"/>
    </row>
    <row r="2" spans="1:12">
      <c r="B2" s="1" t="s">
        <v>1</v>
      </c>
      <c r="C2" s="2" t="s">
        <v>2</v>
      </c>
      <c r="D2" s="1" t="s">
        <v>3</v>
      </c>
      <c r="E2" s="3" t="s">
        <v>32</v>
      </c>
    </row>
    <row r="3" spans="1:12">
      <c r="B3" s="1" t="s">
        <v>5</v>
      </c>
      <c r="C3" s="2" t="s">
        <v>33</v>
      </c>
      <c r="D3" s="1" t="s">
        <v>7</v>
      </c>
      <c r="E3" s="5">
        <v>46183</v>
      </c>
    </row>
    <row r="4" spans="1:12">
      <c r="B4" s="1" t="s">
        <v>34</v>
      </c>
      <c r="C4" s="3" t="s">
        <v>35</v>
      </c>
      <c r="D4" s="1" t="s">
        <v>8</v>
      </c>
      <c r="E4" s="3"/>
    </row>
    <row r="5" spans="1:12">
      <c r="B5" s="1" t="s">
        <v>36</v>
      </c>
      <c r="C5" s="3" t="s">
        <v>16</v>
      </c>
      <c r="D5" s="1" t="s">
        <v>9</v>
      </c>
      <c r="E5" s="3"/>
    </row>
    <row r="9" spans="1:12">
      <c r="A9" s="1" t="s">
        <v>10</v>
      </c>
      <c r="B9" s="1" t="s">
        <v>11</v>
      </c>
      <c r="C9" s="1" t="s">
        <v>12</v>
      </c>
      <c r="D9" s="1" t="s">
        <v>37</v>
      </c>
      <c r="E9" s="1" t="s">
        <v>38</v>
      </c>
      <c r="F9" s="1" t="s">
        <v>39</v>
      </c>
      <c r="G9" s="1" t="s">
        <v>40</v>
      </c>
      <c r="H9" s="1" t="s">
        <v>41</v>
      </c>
      <c r="I9" s="1" t="s">
        <v>42</v>
      </c>
      <c r="J9" s="1" t="s">
        <v>14</v>
      </c>
      <c r="L9" t="e">
        <f>"create table "&amp;#REF!&amp;" ("</f>
        <v>#REF!</v>
      </c>
    </row>
    <row r="10" spans="1:12">
      <c r="A10" s="3">
        <v>1</v>
      </c>
      <c r="B10" s="3" t="s">
        <v>43</v>
      </c>
      <c r="C10" s="3" t="s">
        <v>44</v>
      </c>
      <c r="D10" s="3" t="s">
        <v>45</v>
      </c>
      <c r="E10" s="3"/>
      <c r="F10" s="3" t="s">
        <v>46</v>
      </c>
      <c r="G10" s="3" t="s">
        <v>46</v>
      </c>
      <c r="H10" s="3"/>
      <c r="I10" s="3"/>
      <c r="J10" s="3"/>
      <c r="L10" t="str">
        <f>C10&amp;" "&amp;D10&amp;" "&amp;IF(E10&lt;&gt;"","("&amp;E10&amp;")","")&amp;IF(C11&lt;&gt;"",",","")</f>
        <v>id int ,</v>
      </c>
    </row>
    <row r="11" spans="1:12">
      <c r="A11" s="3">
        <v>2</v>
      </c>
      <c r="B11" s="3" t="s">
        <v>47</v>
      </c>
      <c r="C11" s="3" t="s">
        <v>48</v>
      </c>
      <c r="D11" s="3" t="s">
        <v>49</v>
      </c>
      <c r="E11" s="3">
        <v>100</v>
      </c>
      <c r="F11" s="3"/>
      <c r="G11" s="3"/>
      <c r="H11" s="3" t="s">
        <v>46</v>
      </c>
      <c r="I11" s="3"/>
      <c r="J11" s="3"/>
      <c r="L11" t="str">
        <f>C11&amp;" "&amp;D11&amp;" "&amp;IF(E11&lt;&gt;"","("&amp;E11&amp;")","")&amp;IF(C12&lt;&gt;"",",","")</f>
        <v>email VARCHAR (100),</v>
      </c>
    </row>
    <row r="12" spans="1:12">
      <c r="A12" s="3">
        <v>3</v>
      </c>
      <c r="B12" s="3" t="s">
        <v>50</v>
      </c>
      <c r="C12" s="3" t="s">
        <v>51</v>
      </c>
      <c r="D12" s="3" t="s">
        <v>49</v>
      </c>
      <c r="E12" s="3">
        <v>100</v>
      </c>
      <c r="F12" s="3"/>
      <c r="G12" s="3"/>
      <c r="H12" s="3" t="s">
        <v>46</v>
      </c>
      <c r="I12" s="3"/>
      <c r="J12" s="3"/>
      <c r="L12" t="str">
        <f>C12&amp;" "&amp;D12&amp;" "&amp;IF(E12&lt;&gt;"","("&amp;E12&amp;")","")&amp;IF(C13&lt;&gt;"",",","")</f>
        <v>user VARCHAR (100),</v>
      </c>
    </row>
    <row r="13" spans="1:12">
      <c r="A13" s="3">
        <v>4</v>
      </c>
      <c r="B13" s="3" t="s">
        <v>52</v>
      </c>
      <c r="C13" s="3" t="s">
        <v>53</v>
      </c>
      <c r="D13" s="3" t="s">
        <v>49</v>
      </c>
      <c r="E13" s="3">
        <v>32</v>
      </c>
      <c r="F13" s="3"/>
      <c r="G13" s="3"/>
      <c r="H13" s="3" t="s">
        <v>46</v>
      </c>
      <c r="I13" s="3"/>
      <c r="J13" s="3"/>
      <c r="L13" t="str">
        <f>C13&amp;" "&amp;D13&amp;" "&amp;IF(E13&lt;&gt;"","("&amp;E13&amp;")","")&amp;IF(C14&lt;&gt;"",",","")</f>
        <v>password VARCHAR (32),</v>
      </c>
    </row>
    <row r="14" spans="1:12">
      <c r="A14" s="3">
        <v>5</v>
      </c>
      <c r="B14" s="3" t="s">
        <v>54</v>
      </c>
      <c r="C14" s="3" t="s">
        <v>55</v>
      </c>
      <c r="D14" s="3" t="s">
        <v>45</v>
      </c>
      <c r="E14" s="3">
        <v>1</v>
      </c>
      <c r="F14" s="3"/>
      <c r="G14" s="3"/>
      <c r="H14" s="3" t="s">
        <v>46</v>
      </c>
      <c r="I14" s="3"/>
      <c r="J14" s="3" t="s">
        <v>56</v>
      </c>
      <c r="L14" t="str">
        <f>C14&amp;" "&amp;D14&amp;" "&amp;IF(E14&lt;&gt;"","("&amp;E14&amp;")","")&amp;IF(C15&lt;&gt;"",",","")</f>
        <v>mylevel int (1)</v>
      </c>
    </row>
    <row r="15" spans="1:1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L15" t="str">
        <f t="shared" ref="L15:L29" si="0">C15&amp;" "&amp;D15&amp;" "&amp;IF(E15&lt;&gt;"","("&amp;E15&amp;")","")&amp;IF(C16&lt;&gt;"",",","")</f>
        <v xml:space="preserve">  </v>
      </c>
    </row>
    <row r="16" spans="1:1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L16" t="str">
        <f t="shared" si="0"/>
        <v xml:space="preserve">  </v>
      </c>
    </row>
    <row r="17" spans="1:1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L17" t="str">
        <f t="shared" si="0"/>
        <v xml:space="preserve">  </v>
      </c>
    </row>
    <row r="18" spans="1:1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L18" t="str">
        <f t="shared" si="0"/>
        <v xml:space="preserve">  </v>
      </c>
    </row>
    <row r="19" spans="1:1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L19" t="str">
        <f t="shared" si="0"/>
        <v xml:space="preserve">  </v>
      </c>
    </row>
    <row r="20" spans="1:1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L20" t="str">
        <f t="shared" si="0"/>
        <v xml:space="preserve">  </v>
      </c>
    </row>
    <row r="21" spans="1:1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L21" t="str">
        <f t="shared" si="0"/>
        <v xml:space="preserve">  </v>
      </c>
    </row>
    <row r="22" spans="1:1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L22" t="str">
        <f t="shared" si="0"/>
        <v xml:space="preserve">  </v>
      </c>
    </row>
    <row r="23" spans="1:1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L23" t="str">
        <f t="shared" si="0"/>
        <v xml:space="preserve">  </v>
      </c>
    </row>
    <row r="24" spans="1:1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L24" t="str">
        <f t="shared" si="0"/>
        <v xml:space="preserve">  </v>
      </c>
    </row>
    <row r="25" spans="1:12">
      <c r="A25" s="3">
        <v>16</v>
      </c>
      <c r="B25" s="3"/>
      <c r="C25" s="3"/>
      <c r="D25" s="3"/>
      <c r="E25" s="3"/>
      <c r="F25" s="3"/>
      <c r="G25" s="3"/>
      <c r="H25" s="3"/>
      <c r="I25" s="3"/>
      <c r="J25" s="3"/>
      <c r="L25" t="str">
        <f t="shared" si="0"/>
        <v xml:space="preserve">  </v>
      </c>
    </row>
    <row r="26" spans="1:12">
      <c r="A26" s="3">
        <v>17</v>
      </c>
      <c r="B26" s="3"/>
      <c r="C26" s="3"/>
      <c r="D26" s="3"/>
      <c r="E26" s="3"/>
      <c r="F26" s="3"/>
      <c r="G26" s="3"/>
      <c r="H26" s="3"/>
      <c r="I26" s="3"/>
      <c r="J26" s="3"/>
      <c r="L26" t="str">
        <f t="shared" si="0"/>
        <v xml:space="preserve">  </v>
      </c>
    </row>
    <row r="27" spans="1:12">
      <c r="A27" s="3">
        <v>18</v>
      </c>
      <c r="B27" s="3"/>
      <c r="C27" s="3"/>
      <c r="D27" s="3"/>
      <c r="E27" s="3"/>
      <c r="F27" s="3"/>
      <c r="G27" s="3"/>
      <c r="H27" s="3"/>
      <c r="I27" s="3"/>
      <c r="J27" s="3"/>
      <c r="L27" t="str">
        <f t="shared" si="0"/>
        <v xml:space="preserve">  </v>
      </c>
    </row>
    <row r="28" spans="1:12">
      <c r="A28" s="3">
        <v>19</v>
      </c>
      <c r="B28" s="3"/>
      <c r="C28" s="3"/>
      <c r="D28" s="3"/>
      <c r="E28" s="3"/>
      <c r="F28" s="3"/>
      <c r="G28" s="3"/>
      <c r="H28" s="3"/>
      <c r="I28" s="3"/>
      <c r="J28" s="3"/>
      <c r="L28" t="str">
        <f t="shared" si="0"/>
        <v xml:space="preserve">  </v>
      </c>
    </row>
    <row r="29" spans="1:12">
      <c r="A29" s="3">
        <v>20</v>
      </c>
      <c r="B29" s="3"/>
      <c r="C29" s="3"/>
      <c r="D29" s="3"/>
      <c r="E29" s="3"/>
      <c r="F29" s="3"/>
      <c r="G29" s="3"/>
      <c r="H29" s="3"/>
      <c r="I29" s="3"/>
      <c r="J29" s="3"/>
      <c r="L29" t="str">
        <f t="shared" si="0"/>
        <v xml:space="preserve">  </v>
      </c>
    </row>
    <row r="30" spans="1:12">
      <c r="L30" t="s">
        <v>57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F2F5C-89F0-4CB3-9F67-3A2E00CC8D08}">
  <dimension ref="A1:L30"/>
  <sheetViews>
    <sheetView workbookViewId="0">
      <selection activeCell="C6" sqref="C6"/>
    </sheetView>
  </sheetViews>
  <sheetFormatPr defaultRowHeight="13.5"/>
  <cols>
    <col min="2" max="2" width="16.140625" customWidth="1"/>
    <col min="3" max="3" width="19.42578125" customWidth="1"/>
    <col min="4" max="4" width="16.28515625" customWidth="1"/>
    <col min="5" max="5" width="16.42578125" customWidth="1"/>
    <col min="6" max="6" width="9.7109375" customWidth="1"/>
    <col min="7" max="7" width="7.28515625" customWidth="1"/>
    <col min="8" max="8" width="9.42578125" customWidth="1"/>
    <col min="9" max="9" width="11.28515625" bestFit="1" customWidth="1"/>
    <col min="10" max="10" width="33.85546875" customWidth="1"/>
  </cols>
  <sheetData>
    <row r="1" spans="1:12" ht="18.75">
      <c r="A1" s="4"/>
    </row>
    <row r="2" spans="1:12">
      <c r="B2" s="1" t="s">
        <v>1</v>
      </c>
      <c r="C2" s="2" t="s">
        <v>2</v>
      </c>
      <c r="D2" s="1" t="s">
        <v>3</v>
      </c>
      <c r="E2" s="3" t="s">
        <v>4</v>
      </c>
    </row>
    <row r="3" spans="1:12">
      <c r="B3" s="1" t="s">
        <v>5</v>
      </c>
      <c r="C3" s="2" t="s">
        <v>6</v>
      </c>
      <c r="D3" s="1" t="s">
        <v>7</v>
      </c>
      <c r="E3" s="5">
        <v>46183</v>
      </c>
    </row>
    <row r="4" spans="1:12">
      <c r="B4" s="1" t="s">
        <v>34</v>
      </c>
      <c r="C4" t="s">
        <v>18</v>
      </c>
      <c r="D4" s="1" t="s">
        <v>8</v>
      </c>
      <c r="E4" s="3"/>
    </row>
    <row r="5" spans="1:12">
      <c r="B5" s="8" t="s">
        <v>36</v>
      </c>
      <c r="C5" s="7" t="s">
        <v>19</v>
      </c>
      <c r="D5" s="9" t="s">
        <v>9</v>
      </c>
      <c r="E5" s="3"/>
    </row>
    <row r="9" spans="1:12">
      <c r="A9" s="1" t="s">
        <v>10</v>
      </c>
      <c r="B9" s="1" t="s">
        <v>11</v>
      </c>
      <c r="C9" s="1" t="s">
        <v>12</v>
      </c>
      <c r="D9" s="1" t="s">
        <v>37</v>
      </c>
      <c r="E9" s="1" t="s">
        <v>38</v>
      </c>
      <c r="F9" s="1" t="s">
        <v>39</v>
      </c>
      <c r="G9" s="1" t="s">
        <v>40</v>
      </c>
      <c r="H9" s="1" t="s">
        <v>41</v>
      </c>
      <c r="I9" s="1" t="s">
        <v>42</v>
      </c>
      <c r="J9" s="1" t="s">
        <v>14</v>
      </c>
      <c r="L9" t="str">
        <f>"create table "&amp;idpw!C5&amp;" ("</f>
        <v>create table idpw (</v>
      </c>
    </row>
    <row r="10" spans="1:12">
      <c r="A10" s="3">
        <v>1</v>
      </c>
      <c r="B10" s="3" t="s">
        <v>58</v>
      </c>
      <c r="C10" s="6" t="s">
        <v>59</v>
      </c>
      <c r="D10" s="3" t="s">
        <v>45</v>
      </c>
      <c r="E10" s="3"/>
      <c r="F10" s="3" t="s">
        <v>46</v>
      </c>
      <c r="G10" s="3" t="s">
        <v>46</v>
      </c>
      <c r="H10" s="3"/>
      <c r="I10" s="3"/>
      <c r="J10" s="3"/>
      <c r="L10" t="str">
        <f>C10&amp;" "&amp;D10&amp;" "&amp;IF(E10&lt;&gt;"","("&amp;E10&amp;")","")&amp;IF(C11&lt;&gt;"",",","")</f>
        <v>coffeenumber int ,</v>
      </c>
    </row>
    <row r="11" spans="1:12">
      <c r="A11" s="3">
        <v>2</v>
      </c>
      <c r="B11" s="3" t="s">
        <v>60</v>
      </c>
      <c r="C11" s="3" t="s">
        <v>61</v>
      </c>
      <c r="D11" s="6" t="s">
        <v>49</v>
      </c>
      <c r="E11" s="3">
        <v>50</v>
      </c>
      <c r="F11" s="3"/>
      <c r="G11" s="3"/>
      <c r="H11" s="3"/>
      <c r="I11" s="3"/>
      <c r="J11" s="3"/>
      <c r="L11" t="str">
        <f>C11&amp;" "&amp;D11&amp;" "&amp;IF(E11&lt;&gt;"","("&amp;E11&amp;")","")&amp;IF(C12&lt;&gt;"",",","")</f>
        <v>name VARCHAR (50),</v>
      </c>
    </row>
    <row r="12" spans="1:12">
      <c r="A12" s="3">
        <v>3</v>
      </c>
      <c r="B12" s="3" t="s">
        <v>62</v>
      </c>
      <c r="C12" s="3" t="s">
        <v>63</v>
      </c>
      <c r="D12" s="3" t="s">
        <v>45</v>
      </c>
      <c r="E12" s="3">
        <v>20</v>
      </c>
      <c r="F12" s="3"/>
      <c r="G12" s="3"/>
      <c r="H12" s="3"/>
      <c r="I12" s="3"/>
      <c r="J12" s="3"/>
      <c r="L12" t="str">
        <f>C12&amp;" "&amp;D12&amp;" "&amp;IF(E12&lt;&gt;"","("&amp;E12&amp;")","")&amp;IF(個人用!C11&lt;&gt;"",",","")</f>
        <v>valu int (20),</v>
      </c>
    </row>
    <row r="13" spans="1:12">
      <c r="L13" t="str">
        <f>個人用!C11&amp;" "&amp;個人用!D11&amp;" "&amp;IF(個人用!E11&lt;&gt;"","("&amp;個人用!E11&amp;")","")&amp;IF(C14&lt;&gt;"",",","")</f>
        <v>new_valu int (20),</v>
      </c>
    </row>
    <row r="14" spans="1:12">
      <c r="A14" s="3">
        <v>5</v>
      </c>
      <c r="B14" s="3" t="s">
        <v>64</v>
      </c>
      <c r="C14" s="3" t="s">
        <v>65</v>
      </c>
      <c r="D14" s="3" t="s">
        <v>45</v>
      </c>
      <c r="E14" s="3">
        <v>5</v>
      </c>
      <c r="F14" s="3"/>
      <c r="G14" s="3"/>
      <c r="H14" s="3"/>
      <c r="I14" s="3"/>
      <c r="J14" s="3"/>
      <c r="L14" t="str">
        <f>C14&amp;" "&amp;D14&amp;" "&amp;IF(E14&lt;&gt;"","("&amp;E14&amp;")","")&amp;IF(C15&lt;&gt;"",",","")</f>
        <v>size int (5),</v>
      </c>
    </row>
    <row r="15" spans="1:12">
      <c r="A15" s="3">
        <v>6</v>
      </c>
      <c r="B15" s="3" t="s">
        <v>66</v>
      </c>
      <c r="C15" s="3" t="s">
        <v>67</v>
      </c>
      <c r="D15" s="3" t="s">
        <v>49</v>
      </c>
      <c r="E15" s="3">
        <v>50</v>
      </c>
      <c r="F15" s="3"/>
      <c r="G15" s="3"/>
      <c r="H15" s="3"/>
      <c r="I15" s="3"/>
      <c r="J15" s="3"/>
      <c r="L15" t="str">
        <f>C15&amp;" "&amp;D15&amp;" "&amp;IF(E15&lt;&gt;"","("&amp;E15&amp;")","")&amp;IF(C16&lt;&gt;"",",","")</f>
        <v>bland VARCHAR (50),</v>
      </c>
    </row>
    <row r="16" spans="1:12">
      <c r="A16" s="3">
        <v>7</v>
      </c>
      <c r="B16" s="3" t="s">
        <v>68</v>
      </c>
      <c r="C16" s="3" t="s">
        <v>69</v>
      </c>
      <c r="D16" s="3" t="s">
        <v>49</v>
      </c>
      <c r="E16" s="3">
        <v>50</v>
      </c>
      <c r="F16" s="3"/>
      <c r="G16" s="3"/>
      <c r="H16" s="3"/>
      <c r="I16" s="3"/>
      <c r="J16" s="3"/>
      <c r="L16" t="str">
        <f>C16&amp;" "&amp;D16&amp;" "&amp;IF(E16&lt;&gt;"","("&amp;E16&amp;")","")&amp;IF(C17&lt;&gt;"",",","")</f>
        <v>area VARCHAR (50),</v>
      </c>
    </row>
    <row r="17" spans="1:12">
      <c r="A17" s="3">
        <v>8</v>
      </c>
      <c r="B17" s="3" t="s">
        <v>70</v>
      </c>
      <c r="C17" s="3" t="s">
        <v>71</v>
      </c>
      <c r="D17" s="3" t="s">
        <v>49</v>
      </c>
      <c r="E17" s="3">
        <v>50</v>
      </c>
      <c r="F17" s="3"/>
      <c r="G17" s="3"/>
      <c r="H17" s="3"/>
      <c r="I17" s="3"/>
      <c r="J17" s="3"/>
      <c r="L17" t="str">
        <f>C17&amp;" "&amp;D17&amp;" "&amp;IF(E17&lt;&gt;"","("&amp;E17&amp;")","")&amp;IF(C19&lt;&gt;"",",","")</f>
        <v>shop VARCHAR (50),</v>
      </c>
    </row>
    <row r="18" spans="1:12">
      <c r="A18" s="3">
        <v>9</v>
      </c>
      <c r="B18" s="3" t="s">
        <v>72</v>
      </c>
      <c r="C18" s="3" t="s">
        <v>73</v>
      </c>
      <c r="D18" s="3" t="s">
        <v>49</v>
      </c>
      <c r="E18" s="3">
        <v>50</v>
      </c>
      <c r="F18" s="3"/>
      <c r="G18" s="3"/>
      <c r="H18" s="3"/>
      <c r="I18" s="3"/>
      <c r="J18" s="3"/>
    </row>
    <row r="19" spans="1:12">
      <c r="A19" s="3">
        <v>10</v>
      </c>
      <c r="B19" s="3" t="s">
        <v>54</v>
      </c>
      <c r="C19" s="3" t="s">
        <v>74</v>
      </c>
      <c r="D19" s="3" t="s">
        <v>45</v>
      </c>
      <c r="E19" s="3">
        <v>1</v>
      </c>
      <c r="F19" s="3"/>
      <c r="G19" s="3"/>
      <c r="H19" s="3"/>
      <c r="I19" s="3">
        <v>1</v>
      </c>
      <c r="J19" s="3" t="s">
        <v>75</v>
      </c>
      <c r="L19" t="e">
        <f>C19&amp;" "&amp;D19&amp;" "&amp;IF(E19&lt;&gt;"","("&amp;E19&amp;")","")&amp;IF(#REF!&lt;&gt;"",",","")</f>
        <v>#REF!</v>
      </c>
    </row>
    <row r="21" spans="1:12">
      <c r="A21" s="3">
        <v>13</v>
      </c>
      <c r="B21" s="3" t="s">
        <v>76</v>
      </c>
      <c r="C21" s="3" t="s">
        <v>77</v>
      </c>
      <c r="D21" s="3" t="s">
        <v>49</v>
      </c>
      <c r="E21" s="3">
        <v>200</v>
      </c>
      <c r="F21" s="3"/>
      <c r="G21" s="3"/>
      <c r="H21" s="3"/>
      <c r="I21" s="3"/>
      <c r="J21" s="3" t="s">
        <v>78</v>
      </c>
      <c r="L21" t="str">
        <f>C21&amp;" "&amp;D21&amp;" "&amp;IF(E21&lt;&gt;"","("&amp;E21&amp;")","")&amp;IF(C22&lt;&gt;"",",","")</f>
        <v>picture VARCHAR (200)</v>
      </c>
    </row>
    <row r="22" spans="1:1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L22" t="str">
        <f>C22&amp;" "&amp;D22&amp;" "&amp;IF(E22&lt;&gt;"","("&amp;E22&amp;")","")&amp;IF(C23&lt;&gt;"",",","")</f>
        <v xml:space="preserve">  </v>
      </c>
    </row>
    <row r="23" spans="1:1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L23" t="str">
        <f>C23&amp;" "&amp;D23&amp;" "&amp;IF(E23&lt;&gt;"","("&amp;E23&amp;")","")&amp;IF(C24&lt;&gt;"",",","")</f>
        <v xml:space="preserve">  </v>
      </c>
    </row>
    <row r="24" spans="1:1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L24" t="str">
        <f>C24&amp;" "&amp;D24&amp;" "&amp;IF(E24&lt;&gt;"","("&amp;E24&amp;")","")&amp;IF(C25&lt;&gt;"",",","")</f>
        <v xml:space="preserve">  </v>
      </c>
    </row>
    <row r="25" spans="1:12">
      <c r="A25" s="3">
        <v>16</v>
      </c>
      <c r="B25" s="3"/>
      <c r="C25" s="3"/>
      <c r="D25" s="3"/>
      <c r="E25" s="3"/>
      <c r="F25" s="3"/>
      <c r="G25" s="3"/>
      <c r="H25" s="3"/>
      <c r="I25" s="3"/>
      <c r="J25" s="3"/>
      <c r="L25" t="str">
        <f>C25&amp;" "&amp;D25&amp;" "&amp;IF(E25&lt;&gt;"","("&amp;E25&amp;")","")&amp;IF(C26&lt;&gt;"",",","")</f>
        <v xml:space="preserve">  </v>
      </c>
    </row>
    <row r="26" spans="1:12">
      <c r="A26" s="3">
        <v>17</v>
      </c>
      <c r="B26" s="3"/>
      <c r="C26" s="3"/>
      <c r="D26" s="3"/>
      <c r="E26" s="3"/>
      <c r="F26" s="3"/>
      <c r="G26" s="3"/>
      <c r="H26" s="3"/>
      <c r="I26" s="3"/>
      <c r="J26" s="3"/>
      <c r="L26" t="str">
        <f>C26&amp;" "&amp;D26&amp;" "&amp;IF(E26&lt;&gt;"","("&amp;E26&amp;")","")&amp;IF(C27&lt;&gt;"",",","")</f>
        <v xml:space="preserve">  </v>
      </c>
    </row>
    <row r="27" spans="1:12">
      <c r="A27" s="3">
        <v>18</v>
      </c>
      <c r="B27" s="3"/>
      <c r="C27" s="3"/>
      <c r="D27" s="3"/>
      <c r="E27" s="3"/>
      <c r="F27" s="3"/>
      <c r="G27" s="3"/>
      <c r="H27" s="3"/>
      <c r="I27" s="3"/>
      <c r="J27" s="3"/>
      <c r="L27" t="str">
        <f>C27&amp;" "&amp;D27&amp;" "&amp;IF(E27&lt;&gt;"","("&amp;E27&amp;")","")&amp;IF(C28&lt;&gt;"",",","")</f>
        <v xml:space="preserve">  </v>
      </c>
    </row>
    <row r="28" spans="1:12">
      <c r="A28" s="3">
        <v>19</v>
      </c>
      <c r="B28" s="3"/>
      <c r="C28" s="3"/>
      <c r="D28" s="3"/>
      <c r="E28" s="3"/>
      <c r="F28" s="3"/>
      <c r="G28" s="3"/>
      <c r="H28" s="3"/>
      <c r="I28" s="3"/>
      <c r="J28" s="3"/>
      <c r="L28" t="str">
        <f>C28&amp;" "&amp;D28&amp;" "&amp;IF(E28&lt;&gt;"","("&amp;E28&amp;")","")&amp;IF(C29&lt;&gt;"",",","")</f>
        <v xml:space="preserve">  </v>
      </c>
    </row>
    <row r="29" spans="1:12">
      <c r="A29" s="3">
        <v>20</v>
      </c>
      <c r="B29" s="3"/>
      <c r="C29" s="3"/>
      <c r="D29" s="3"/>
      <c r="E29" s="3"/>
      <c r="F29" s="3"/>
      <c r="G29" s="3"/>
      <c r="H29" s="3"/>
      <c r="I29" s="3"/>
      <c r="J29" s="3"/>
      <c r="L29" t="str">
        <f>C29&amp;" "&amp;D29&amp;" "&amp;IF(E29&lt;&gt;"","("&amp;E29&amp;")","")&amp;IF(C30&lt;&gt;"",",","")</f>
        <v xml:space="preserve">  </v>
      </c>
    </row>
    <row r="30" spans="1:12">
      <c r="L30" t="s">
        <v>57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6886-3622-461E-8A33-FD57AF3C6818}">
  <dimension ref="A1:L30"/>
  <sheetViews>
    <sheetView workbookViewId="0">
      <selection activeCell="I8" sqref="I8"/>
    </sheetView>
  </sheetViews>
  <sheetFormatPr defaultRowHeight="13.5"/>
  <cols>
    <col min="2" max="2" width="16.140625" customWidth="1"/>
    <col min="3" max="3" width="19.42578125" customWidth="1"/>
    <col min="4" max="4" width="16.28515625" customWidth="1"/>
    <col min="5" max="5" width="16.42578125" customWidth="1"/>
    <col min="6" max="6" width="9.7109375" customWidth="1"/>
    <col min="7" max="7" width="7.28515625" customWidth="1"/>
    <col min="8" max="8" width="9.42578125" customWidth="1"/>
    <col min="9" max="9" width="11.28515625" bestFit="1" customWidth="1"/>
    <col min="10" max="10" width="33.85546875" customWidth="1"/>
  </cols>
  <sheetData>
    <row r="1" spans="1:12" ht="18.75">
      <c r="A1" s="4"/>
    </row>
    <row r="2" spans="1:12">
      <c r="B2" s="1" t="s">
        <v>1</v>
      </c>
      <c r="C2" s="2" t="s">
        <v>2</v>
      </c>
      <c r="D2" s="1" t="s">
        <v>3</v>
      </c>
      <c r="E2" s="3" t="s">
        <v>4</v>
      </c>
    </row>
    <row r="3" spans="1:12">
      <c r="B3" s="1" t="s">
        <v>5</v>
      </c>
      <c r="C3" s="2" t="s">
        <v>79</v>
      </c>
      <c r="D3" s="1" t="s">
        <v>7</v>
      </c>
      <c r="E3" s="5">
        <v>46183</v>
      </c>
    </row>
    <row r="4" spans="1:12">
      <c r="B4" s="1" t="s">
        <v>34</v>
      </c>
      <c r="C4" s="3" t="s">
        <v>20</v>
      </c>
      <c r="D4" s="1" t="s">
        <v>8</v>
      </c>
      <c r="E4" s="3" t="s">
        <v>80</v>
      </c>
    </row>
    <row r="5" spans="1:12">
      <c r="B5" s="1" t="s">
        <v>36</v>
      </c>
      <c r="C5" s="3" t="s">
        <v>21</v>
      </c>
      <c r="D5" s="1" t="s">
        <v>9</v>
      </c>
      <c r="E5" s="5">
        <v>46195</v>
      </c>
    </row>
    <row r="9" spans="1:12">
      <c r="A9" s="1" t="s">
        <v>10</v>
      </c>
      <c r="B9" s="1" t="s">
        <v>11</v>
      </c>
      <c r="C9" s="1" t="s">
        <v>12</v>
      </c>
      <c r="D9" s="1" t="s">
        <v>37</v>
      </c>
      <c r="E9" s="1" t="s">
        <v>38</v>
      </c>
      <c r="F9" s="1" t="s">
        <v>39</v>
      </c>
      <c r="G9" s="1" t="s">
        <v>40</v>
      </c>
      <c r="H9" s="1" t="s">
        <v>41</v>
      </c>
      <c r="I9" s="1" t="s">
        <v>42</v>
      </c>
      <c r="J9" s="1" t="s">
        <v>14</v>
      </c>
      <c r="L9" t="str">
        <f>"create table "&amp;C5&amp;" ("</f>
        <v>create table history (</v>
      </c>
    </row>
    <row r="10" spans="1:12">
      <c r="A10" s="3">
        <v>1</v>
      </c>
      <c r="B10" s="3" t="s">
        <v>81</v>
      </c>
      <c r="C10" s="3" t="s">
        <v>82</v>
      </c>
      <c r="D10" s="3" t="s">
        <v>45</v>
      </c>
      <c r="E10" s="3"/>
      <c r="F10" s="3" t="s">
        <v>46</v>
      </c>
      <c r="G10" s="3" t="s">
        <v>46</v>
      </c>
      <c r="H10" s="3"/>
      <c r="I10" s="3"/>
      <c r="J10" s="3"/>
      <c r="L10" t="str">
        <f>C10&amp;" "&amp;D10&amp;" "&amp;IF(E10&lt;&gt;"","("&amp;E10&amp;")","")&amp;IF(C11&lt;&gt;"",",","")</f>
        <v>historyid int ,</v>
      </c>
    </row>
    <row r="11" spans="1:12">
      <c r="A11" s="3">
        <v>2</v>
      </c>
      <c r="B11" s="3" t="s">
        <v>43</v>
      </c>
      <c r="C11" s="3" t="s">
        <v>83</v>
      </c>
      <c r="D11" s="3" t="s">
        <v>45</v>
      </c>
      <c r="E11" s="3">
        <v>20</v>
      </c>
      <c r="F11" s="3" t="s">
        <v>84</v>
      </c>
      <c r="G11" s="3"/>
      <c r="H11" s="3"/>
      <c r="I11" s="3"/>
      <c r="J11" s="3" t="s">
        <v>85</v>
      </c>
      <c r="L11" t="str">
        <f>C11&amp;" "&amp;D11&amp;" "&amp;IF(E11&lt;&gt;"","("&amp;E11&amp;")","")&amp;IF(C12&lt;&gt;"",",","")</f>
        <v>number int (20),</v>
      </c>
    </row>
    <row r="12" spans="1:12">
      <c r="A12" s="3">
        <v>3</v>
      </c>
      <c r="B12" s="3" t="s">
        <v>86</v>
      </c>
      <c r="C12" s="3" t="s">
        <v>87</v>
      </c>
      <c r="D12" s="3" t="s">
        <v>45</v>
      </c>
      <c r="E12" s="3">
        <v>20</v>
      </c>
      <c r="F12" s="3" t="s">
        <v>84</v>
      </c>
      <c r="G12" s="3"/>
      <c r="H12" s="3"/>
      <c r="I12" s="3"/>
      <c r="J12" s="3" t="s">
        <v>88</v>
      </c>
      <c r="L12" t="str">
        <f>C12&amp;" "&amp;D12&amp;" "&amp;IF(E12&lt;&gt;"","("&amp;E12&amp;")","")&amp;IF(C13&lt;&gt;"",",","")</f>
        <v>userid int (20),</v>
      </c>
    </row>
    <row r="13" spans="1:12">
      <c r="A13" s="3">
        <v>4</v>
      </c>
      <c r="B13" s="3" t="s">
        <v>89</v>
      </c>
      <c r="C13" s="3" t="s">
        <v>90</v>
      </c>
      <c r="D13" s="3" t="s">
        <v>91</v>
      </c>
      <c r="E13" s="3"/>
      <c r="F13" s="3"/>
      <c r="G13" s="3"/>
      <c r="H13" s="3"/>
      <c r="I13" s="3"/>
      <c r="J13" s="3" t="s">
        <v>89</v>
      </c>
      <c r="L13" t="str">
        <f>C13&amp;" "&amp;D13&amp;" "&amp;IF(E13&lt;&gt;"","("&amp;E13&amp;")","")&amp;IF(C14&lt;&gt;"",",","")</f>
        <v xml:space="preserve">viewdate DATETIME </v>
      </c>
    </row>
    <row r="14" spans="1:1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L14" t="str">
        <f>C14&amp;" "&amp;D14&amp;" "&amp;IF(E14&lt;&gt;"","("&amp;E14&amp;")","")&amp;IF(C15&lt;&gt;"",",","")</f>
        <v xml:space="preserve">  </v>
      </c>
    </row>
    <row r="15" spans="1:1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L15" t="str">
        <f t="shared" ref="L15:L29" si="0">C15&amp;" "&amp;D15&amp;" "&amp;IF(E15&lt;&gt;"","("&amp;E15&amp;")","")&amp;IF(C16&lt;&gt;"",",","")</f>
        <v xml:space="preserve">  </v>
      </c>
    </row>
    <row r="16" spans="1:1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L16" t="str">
        <f t="shared" si="0"/>
        <v xml:space="preserve">  </v>
      </c>
    </row>
    <row r="17" spans="1:1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L17" t="str">
        <f t="shared" si="0"/>
        <v xml:space="preserve">  </v>
      </c>
    </row>
    <row r="18" spans="1:1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L18" t="str">
        <f t="shared" si="0"/>
        <v xml:space="preserve">  </v>
      </c>
    </row>
    <row r="19" spans="1:1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L19" t="str">
        <f t="shared" si="0"/>
        <v xml:space="preserve">  </v>
      </c>
    </row>
    <row r="20" spans="1:1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L20" t="str">
        <f t="shared" si="0"/>
        <v xml:space="preserve">  </v>
      </c>
    </row>
    <row r="21" spans="1:1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L21" t="str">
        <f t="shared" si="0"/>
        <v xml:space="preserve">  </v>
      </c>
    </row>
    <row r="22" spans="1:1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L22" t="str">
        <f t="shared" si="0"/>
        <v xml:space="preserve">  </v>
      </c>
    </row>
    <row r="23" spans="1:1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L23" t="str">
        <f t="shared" si="0"/>
        <v xml:space="preserve">  </v>
      </c>
    </row>
    <row r="24" spans="1:1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L24" t="str">
        <f t="shared" si="0"/>
        <v xml:space="preserve">  </v>
      </c>
    </row>
    <row r="25" spans="1:12">
      <c r="A25" s="3">
        <v>16</v>
      </c>
      <c r="B25" s="3"/>
      <c r="C25" s="3"/>
      <c r="D25" s="3"/>
      <c r="E25" s="3"/>
      <c r="F25" s="3"/>
      <c r="G25" s="3"/>
      <c r="H25" s="3"/>
      <c r="I25" s="3"/>
      <c r="J25" s="3"/>
      <c r="L25" t="str">
        <f t="shared" si="0"/>
        <v xml:space="preserve">  </v>
      </c>
    </row>
    <row r="26" spans="1:12">
      <c r="A26" s="3">
        <v>17</v>
      </c>
      <c r="B26" s="3"/>
      <c r="C26" s="3"/>
      <c r="D26" s="3"/>
      <c r="E26" s="3"/>
      <c r="F26" s="3"/>
      <c r="G26" s="3"/>
      <c r="H26" s="3"/>
      <c r="I26" s="3"/>
      <c r="J26" s="3"/>
      <c r="L26" t="str">
        <f t="shared" si="0"/>
        <v xml:space="preserve">  </v>
      </c>
    </row>
    <row r="27" spans="1:12">
      <c r="A27" s="3">
        <v>18</v>
      </c>
      <c r="B27" s="3"/>
      <c r="C27" s="3"/>
      <c r="D27" s="3"/>
      <c r="E27" s="3"/>
      <c r="F27" s="3"/>
      <c r="G27" s="3"/>
      <c r="H27" s="3"/>
      <c r="I27" s="3"/>
      <c r="J27" s="3"/>
      <c r="L27" t="str">
        <f t="shared" si="0"/>
        <v xml:space="preserve">  </v>
      </c>
    </row>
    <row r="28" spans="1:12">
      <c r="A28" s="3">
        <v>19</v>
      </c>
      <c r="B28" s="3"/>
      <c r="C28" s="3"/>
      <c r="D28" s="3"/>
      <c r="E28" s="3"/>
      <c r="F28" s="3"/>
      <c r="G28" s="3"/>
      <c r="H28" s="3"/>
      <c r="I28" s="3"/>
      <c r="J28" s="3"/>
      <c r="L28" t="str">
        <f t="shared" si="0"/>
        <v xml:space="preserve">  </v>
      </c>
    </row>
    <row r="29" spans="1:12">
      <c r="A29" s="3">
        <v>20</v>
      </c>
      <c r="B29" s="3"/>
      <c r="C29" s="3"/>
      <c r="D29" s="3"/>
      <c r="E29" s="3"/>
      <c r="F29" s="3"/>
      <c r="G29" s="3"/>
      <c r="H29" s="3"/>
      <c r="I29" s="3"/>
      <c r="J29" s="3"/>
      <c r="L29" t="str">
        <f t="shared" si="0"/>
        <v xml:space="preserve">  </v>
      </c>
    </row>
    <row r="30" spans="1:12">
      <c r="L30" t="s">
        <v>57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0DCEF-79E5-40B9-8D49-551BF6B3D5BB}">
  <dimension ref="A1:J35"/>
  <sheetViews>
    <sheetView workbookViewId="0">
      <selection activeCell="B10" sqref="B10"/>
    </sheetView>
  </sheetViews>
  <sheetFormatPr defaultRowHeight="13.5"/>
  <cols>
    <col min="2" max="2" width="21.42578125" customWidth="1"/>
    <col min="3" max="3" width="23.140625" customWidth="1"/>
    <col min="4" max="4" width="23.7109375" customWidth="1"/>
    <col min="5" max="5" width="38.140625" customWidth="1"/>
    <col min="6" max="6" width="52.5703125" customWidth="1"/>
    <col min="10" max="10" width="20.7109375" customWidth="1"/>
  </cols>
  <sheetData>
    <row r="1" spans="1:10" ht="18.75">
      <c r="A1" s="4"/>
    </row>
    <row r="2" spans="1:10">
      <c r="B2" s="1" t="s">
        <v>1</v>
      </c>
      <c r="C2" s="2" t="s">
        <v>2</v>
      </c>
      <c r="D2" s="1" t="s">
        <v>3</v>
      </c>
      <c r="E2" s="3" t="s">
        <v>32</v>
      </c>
    </row>
    <row r="3" spans="1:10">
      <c r="B3" s="1" t="s">
        <v>5</v>
      </c>
      <c r="C3" s="2" t="s">
        <v>33</v>
      </c>
      <c r="D3" s="1" t="s">
        <v>7</v>
      </c>
      <c r="E3" s="5">
        <v>46183</v>
      </c>
    </row>
    <row r="4" spans="1:10">
      <c r="B4" s="1" t="s">
        <v>34</v>
      </c>
      <c r="C4" s="3" t="s">
        <v>35</v>
      </c>
      <c r="D4" s="1" t="s">
        <v>8</v>
      </c>
      <c r="E4" s="3"/>
    </row>
    <row r="5" spans="1:10">
      <c r="B5" s="1" t="s">
        <v>36</v>
      </c>
      <c r="C5" s="3" t="s">
        <v>27</v>
      </c>
      <c r="D5" s="1" t="s">
        <v>9</v>
      </c>
      <c r="E5" s="3"/>
    </row>
    <row r="9" spans="1:10">
      <c r="A9" s="1" t="s">
        <v>10</v>
      </c>
      <c r="B9" s="1" t="s">
        <v>11</v>
      </c>
      <c r="C9" s="1" t="s">
        <v>12</v>
      </c>
      <c r="D9" s="1" t="s">
        <v>37</v>
      </c>
      <c r="E9" s="1" t="s">
        <v>38</v>
      </c>
      <c r="F9" s="1" t="s">
        <v>39</v>
      </c>
      <c r="G9" s="1" t="s">
        <v>40</v>
      </c>
      <c r="H9" s="1" t="s">
        <v>41</v>
      </c>
      <c r="I9" s="1" t="s">
        <v>42</v>
      </c>
      <c r="J9" s="1" t="s">
        <v>14</v>
      </c>
    </row>
    <row r="10" spans="1:10">
      <c r="A10" s="3">
        <v>1</v>
      </c>
      <c r="B10" s="3" t="s">
        <v>92</v>
      </c>
      <c r="C10" s="3" t="s">
        <v>93</v>
      </c>
      <c r="D10" s="3" t="s">
        <v>45</v>
      </c>
      <c r="E10" s="3">
        <v>20</v>
      </c>
      <c r="F10" s="3" t="s">
        <v>46</v>
      </c>
      <c r="G10" s="3" t="s">
        <v>46</v>
      </c>
      <c r="H10" s="3"/>
      <c r="I10" s="3"/>
      <c r="J10" s="3" t="s">
        <v>94</v>
      </c>
    </row>
    <row r="11" spans="1:10">
      <c r="A11" s="3">
        <v>2</v>
      </c>
      <c r="B11" s="3" t="s">
        <v>58</v>
      </c>
      <c r="C11" s="3" t="s">
        <v>95</v>
      </c>
      <c r="D11" s="3" t="s">
        <v>49</v>
      </c>
      <c r="E11" s="3">
        <v>100</v>
      </c>
      <c r="F11" s="3"/>
      <c r="G11" s="3"/>
      <c r="H11" s="3" t="s">
        <v>46</v>
      </c>
      <c r="I11" s="3"/>
      <c r="J11" s="3"/>
    </row>
    <row r="12" spans="1:10">
      <c r="A12" s="3">
        <v>6</v>
      </c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>
        <v>7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>
        <v>8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>
        <v>9</v>
      </c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>
        <v>10</v>
      </c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>
        <v>11</v>
      </c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>
        <v>12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>
        <v>13</v>
      </c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>
        <v>14</v>
      </c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>
        <v>15</v>
      </c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>
        <v>16</v>
      </c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>
        <v>17</v>
      </c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>
        <v>18</v>
      </c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>
        <v>19</v>
      </c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>
        <v>20</v>
      </c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B27" s="3">
        <v>23</v>
      </c>
      <c r="C27" s="3"/>
      <c r="D27" s="3"/>
      <c r="E27" s="3"/>
      <c r="F27" s="3"/>
    </row>
    <row r="28" spans="1:10">
      <c r="B28" s="3">
        <v>24</v>
      </c>
      <c r="C28" s="3"/>
      <c r="D28" s="3"/>
      <c r="E28" s="3"/>
      <c r="F28" s="3"/>
    </row>
    <row r="29" spans="1:10">
      <c r="B29" s="3">
        <v>25</v>
      </c>
      <c r="C29" s="3"/>
      <c r="D29" s="3"/>
      <c r="E29" s="3"/>
      <c r="F29" s="3"/>
    </row>
    <row r="30" spans="1:10">
      <c r="B30" s="3">
        <v>26</v>
      </c>
      <c r="C30" s="3"/>
      <c r="D30" s="3"/>
      <c r="E30" s="3"/>
      <c r="F30" s="3"/>
    </row>
    <row r="31" spans="1:10">
      <c r="B31" s="3">
        <v>27</v>
      </c>
      <c r="C31" s="3"/>
      <c r="D31" s="3"/>
      <c r="E31" s="3"/>
      <c r="F31" s="3"/>
    </row>
    <row r="32" spans="1:10">
      <c r="B32" s="3">
        <v>28</v>
      </c>
      <c r="C32" s="3"/>
      <c r="D32" s="3"/>
      <c r="E32" s="3"/>
      <c r="F32" s="3"/>
    </row>
    <row r="33" spans="2:6">
      <c r="B33" s="3">
        <v>29</v>
      </c>
      <c r="C33" s="3"/>
      <c r="D33" s="3"/>
      <c r="E33" s="3"/>
      <c r="F33" s="3"/>
    </row>
    <row r="34" spans="2:6">
      <c r="B34" s="3">
        <v>30</v>
      </c>
      <c r="C34" s="3"/>
      <c r="D34" s="3"/>
      <c r="E34" s="3"/>
      <c r="F34" s="3"/>
    </row>
    <row r="35" spans="2:6">
      <c r="B35" s="3">
        <v>31</v>
      </c>
      <c r="C35" s="3"/>
      <c r="D35" s="3"/>
      <c r="E35" s="3"/>
      <c r="F35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C6BCF-541A-4860-BCA7-85C1CFDD39F6}">
  <dimension ref="A1:L30"/>
  <sheetViews>
    <sheetView tabSelected="1" workbookViewId="0">
      <selection activeCell="D13" sqref="D13:H13"/>
    </sheetView>
  </sheetViews>
  <sheetFormatPr defaultRowHeight="13.5"/>
  <cols>
    <col min="2" max="2" width="16.140625" customWidth="1"/>
    <col min="3" max="3" width="19.42578125" customWidth="1"/>
    <col min="4" max="4" width="16.28515625" customWidth="1"/>
    <col min="5" max="5" width="16.42578125" customWidth="1"/>
    <col min="6" max="6" width="9.7109375" customWidth="1"/>
    <col min="7" max="7" width="7.28515625" customWidth="1"/>
    <col min="8" max="8" width="9.42578125" customWidth="1"/>
    <col min="9" max="9" width="11.28515625" bestFit="1" customWidth="1"/>
    <col min="10" max="10" width="33.85546875" customWidth="1"/>
  </cols>
  <sheetData>
    <row r="1" spans="1:12" ht="18.75">
      <c r="A1" s="4"/>
    </row>
    <row r="2" spans="1:12">
      <c r="B2" s="1" t="s">
        <v>1</v>
      </c>
      <c r="C2" s="2" t="s">
        <v>2</v>
      </c>
      <c r="D2" s="1" t="s">
        <v>3</v>
      </c>
      <c r="E2" s="3" t="s">
        <v>4</v>
      </c>
    </row>
    <row r="3" spans="1:12">
      <c r="B3" s="1" t="s">
        <v>5</v>
      </c>
      <c r="C3" s="2" t="s">
        <v>79</v>
      </c>
      <c r="D3" s="1" t="s">
        <v>7</v>
      </c>
      <c r="E3" s="5">
        <v>46183</v>
      </c>
    </row>
    <row r="4" spans="1:12">
      <c r="B4" s="1" t="s">
        <v>34</v>
      </c>
      <c r="C4" s="3" t="s">
        <v>96</v>
      </c>
      <c r="D4" s="1" t="s">
        <v>8</v>
      </c>
      <c r="E4" s="3"/>
    </row>
    <row r="5" spans="1:12">
      <c r="B5" s="1" t="s">
        <v>36</v>
      </c>
      <c r="C5" s="3" t="s">
        <v>24</v>
      </c>
      <c r="D5" s="1" t="s">
        <v>9</v>
      </c>
      <c r="E5" s="3"/>
    </row>
    <row r="9" spans="1:12">
      <c r="A9" s="1" t="s">
        <v>10</v>
      </c>
      <c r="B9" s="1" t="s">
        <v>11</v>
      </c>
      <c r="C9" s="1" t="s">
        <v>12</v>
      </c>
      <c r="D9" s="1" t="s">
        <v>37</v>
      </c>
      <c r="E9" s="1" t="s">
        <v>38</v>
      </c>
      <c r="F9" s="1" t="s">
        <v>39</v>
      </c>
      <c r="G9" s="1" t="s">
        <v>40</v>
      </c>
      <c r="H9" s="1" t="s">
        <v>41</v>
      </c>
      <c r="I9" s="1" t="s">
        <v>42</v>
      </c>
      <c r="J9" s="1" t="s">
        <v>14</v>
      </c>
      <c r="L9" t="str">
        <f>"create table "&amp;C5&amp;" ("</f>
        <v>create table food (</v>
      </c>
    </row>
    <row r="10" spans="1:12">
      <c r="A10" s="3">
        <v>1</v>
      </c>
      <c r="B10" s="3" t="s">
        <v>54</v>
      </c>
      <c r="C10" s="3" t="s">
        <v>97</v>
      </c>
      <c r="D10" s="12" t="s">
        <v>45</v>
      </c>
      <c r="E10" s="3"/>
      <c r="F10" s="3" t="s">
        <v>46</v>
      </c>
      <c r="G10" s="3"/>
      <c r="H10" s="3"/>
      <c r="I10" s="3"/>
      <c r="J10" s="3" t="s">
        <v>98</v>
      </c>
      <c r="L10" t="str">
        <f>C10&amp;" "&amp;D10&amp;" "&amp;IF(E10&lt;&gt;"","("&amp;E10&amp;")","")&amp;IF(C11&lt;&gt;"",",","")</f>
        <v>foodlevel int ,</v>
      </c>
    </row>
    <row r="11" spans="1:12" ht="15">
      <c r="A11" s="3">
        <v>2</v>
      </c>
      <c r="B11" s="3" t="s">
        <v>99</v>
      </c>
      <c r="C11" s="2" t="s">
        <v>100</v>
      </c>
      <c r="D11" s="13" t="s">
        <v>49</v>
      </c>
      <c r="E11" s="11">
        <v>50</v>
      </c>
      <c r="F11" s="3"/>
      <c r="G11" s="3"/>
      <c r="H11" s="3"/>
      <c r="I11" s="3"/>
      <c r="J11" s="3"/>
      <c r="L11" t="str">
        <f>C11&amp;" "&amp;D11&amp;" "&amp;IF(E11&lt;&gt;"","("&amp;E11&amp;")","")&amp;IF(C12&lt;&gt;"",",","")</f>
        <v>foodname VARCHAR (50),</v>
      </c>
    </row>
    <row r="12" spans="1:12" ht="15">
      <c r="A12" s="3">
        <v>3</v>
      </c>
      <c r="B12" s="3" t="s">
        <v>101</v>
      </c>
      <c r="C12" s="2" t="s">
        <v>102</v>
      </c>
      <c r="D12" s="10" t="s">
        <v>49</v>
      </c>
      <c r="E12" s="11">
        <v>200</v>
      </c>
      <c r="F12" s="3"/>
      <c r="G12" s="3"/>
      <c r="H12" s="3"/>
      <c r="I12" s="3"/>
      <c r="J12" s="3"/>
      <c r="L12" t="str">
        <f>C12&amp;" "&amp;D12&amp;" "&amp;IF(E12&lt;&gt;"","("&amp;E12&amp;")","")&amp;IF(C13&lt;&gt;"",",","")</f>
        <v>foodmemo VARCHAR (200),</v>
      </c>
    </row>
    <row r="13" spans="1:12">
      <c r="A13" s="3">
        <v>4</v>
      </c>
      <c r="B13" s="3" t="s">
        <v>103</v>
      </c>
      <c r="C13" s="3" t="s">
        <v>104</v>
      </c>
      <c r="D13" s="3" t="s">
        <v>45</v>
      </c>
      <c r="E13" s="3"/>
      <c r="F13" s="3" t="s">
        <v>46</v>
      </c>
      <c r="G13" s="3" t="s">
        <v>46</v>
      </c>
      <c r="H13" s="3"/>
      <c r="I13" s="3"/>
      <c r="J13" s="3"/>
      <c r="L13" t="str">
        <f>C13&amp;" "&amp;D13&amp;" "&amp;IF(E13&lt;&gt;"","("&amp;E13&amp;")","")&amp;IF(C14&lt;&gt;"",",","")</f>
        <v xml:space="preserve">foodnomber int </v>
      </c>
    </row>
    <row r="14" spans="1:1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L14" t="str">
        <f>C14&amp;" "&amp;D14&amp;" "&amp;IF(E14&lt;&gt;"","("&amp;E14&amp;")","")&amp;IF(C15&lt;&gt;"",",","")</f>
        <v xml:space="preserve">  </v>
      </c>
    </row>
    <row r="15" spans="1:1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L15" t="str">
        <f t="shared" ref="L15:L29" si="0">C15&amp;" "&amp;D15&amp;" "&amp;IF(E15&lt;&gt;"","("&amp;E15&amp;")","")&amp;IF(C16&lt;&gt;"",",","")</f>
        <v xml:space="preserve">  </v>
      </c>
    </row>
    <row r="16" spans="1:1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L16" t="str">
        <f t="shared" si="0"/>
        <v xml:space="preserve">  </v>
      </c>
    </row>
    <row r="17" spans="1:1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L17" t="str">
        <f t="shared" si="0"/>
        <v xml:space="preserve">  </v>
      </c>
    </row>
    <row r="18" spans="1:1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L18" t="str">
        <f t="shared" si="0"/>
        <v xml:space="preserve">  </v>
      </c>
    </row>
    <row r="19" spans="1:1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L19" t="str">
        <f t="shared" si="0"/>
        <v xml:space="preserve">  </v>
      </c>
    </row>
    <row r="20" spans="1:1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L20" t="str">
        <f t="shared" si="0"/>
        <v xml:space="preserve">  </v>
      </c>
    </row>
    <row r="21" spans="1:1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L21" t="str">
        <f t="shared" si="0"/>
        <v xml:space="preserve">  </v>
      </c>
    </row>
    <row r="22" spans="1:1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L22" t="str">
        <f t="shared" si="0"/>
        <v xml:space="preserve">  </v>
      </c>
    </row>
    <row r="23" spans="1:1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L23" t="str">
        <f t="shared" si="0"/>
        <v xml:space="preserve">  </v>
      </c>
    </row>
    <row r="24" spans="1:1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L24" t="str">
        <f t="shared" si="0"/>
        <v xml:space="preserve">  </v>
      </c>
    </row>
    <row r="25" spans="1:12">
      <c r="A25" s="3">
        <v>16</v>
      </c>
      <c r="B25" s="3"/>
      <c r="C25" s="3"/>
      <c r="D25" s="3"/>
      <c r="E25" s="3"/>
      <c r="F25" s="3"/>
      <c r="G25" s="3"/>
      <c r="H25" s="3"/>
      <c r="I25" s="3"/>
      <c r="J25" s="3"/>
      <c r="L25" t="str">
        <f t="shared" si="0"/>
        <v xml:space="preserve">  </v>
      </c>
    </row>
    <row r="26" spans="1:12">
      <c r="A26" s="3">
        <v>17</v>
      </c>
      <c r="B26" s="3"/>
      <c r="C26" s="3"/>
      <c r="D26" s="3"/>
      <c r="E26" s="3"/>
      <c r="F26" s="3"/>
      <c r="G26" s="3"/>
      <c r="H26" s="3"/>
      <c r="I26" s="3"/>
      <c r="J26" s="3"/>
      <c r="L26" t="str">
        <f t="shared" si="0"/>
        <v xml:space="preserve">  </v>
      </c>
    </row>
    <row r="27" spans="1:12">
      <c r="A27" s="3">
        <v>18</v>
      </c>
      <c r="B27" s="3"/>
      <c r="C27" s="3"/>
      <c r="D27" s="3"/>
      <c r="E27" s="3"/>
      <c r="F27" s="3"/>
      <c r="G27" s="3"/>
      <c r="H27" s="3"/>
      <c r="I27" s="3"/>
      <c r="J27" s="3"/>
      <c r="L27" t="str">
        <f t="shared" si="0"/>
        <v xml:space="preserve">  </v>
      </c>
    </row>
    <row r="28" spans="1:12">
      <c r="A28" s="3">
        <v>19</v>
      </c>
      <c r="B28" s="3"/>
      <c r="C28" s="3"/>
      <c r="D28" s="3"/>
      <c r="E28" s="3"/>
      <c r="F28" s="3"/>
      <c r="G28" s="3"/>
      <c r="H28" s="3"/>
      <c r="I28" s="3"/>
      <c r="J28" s="3"/>
      <c r="L28" t="str">
        <f t="shared" si="0"/>
        <v xml:space="preserve">  </v>
      </c>
    </row>
    <row r="29" spans="1:12">
      <c r="A29" s="3">
        <v>20</v>
      </c>
      <c r="B29" s="3"/>
      <c r="C29" s="3"/>
      <c r="D29" s="3"/>
      <c r="E29" s="3"/>
      <c r="F29" s="3"/>
      <c r="G29" s="3"/>
      <c r="H29" s="3"/>
      <c r="I29" s="3"/>
      <c r="J29" s="3"/>
      <c r="L29" t="str">
        <f t="shared" si="0"/>
        <v xml:space="preserve">  </v>
      </c>
    </row>
    <row r="30" spans="1:12">
      <c r="L30" t="s">
        <v>57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FB158-F562-4FC6-B89C-E8D898A6DB1A}">
  <dimension ref="A1:L29"/>
  <sheetViews>
    <sheetView workbookViewId="0">
      <selection activeCell="C11" sqref="C11"/>
    </sheetView>
  </sheetViews>
  <sheetFormatPr defaultRowHeight="13.5"/>
  <cols>
    <col min="2" max="2" width="17" bestFit="1" customWidth="1"/>
    <col min="3" max="3" width="19.140625" bestFit="1" customWidth="1"/>
    <col min="4" max="4" width="10.42578125" bestFit="1" customWidth="1"/>
    <col min="5" max="5" width="11.7109375" bestFit="1" customWidth="1"/>
    <col min="10" max="10" width="45.140625" bestFit="1" customWidth="1"/>
  </cols>
  <sheetData>
    <row r="1" spans="1:12" ht="18.75">
      <c r="A1" s="4"/>
    </row>
    <row r="2" spans="1:12">
      <c r="B2" s="1" t="s">
        <v>1</v>
      </c>
      <c r="C2" s="2" t="s">
        <v>2</v>
      </c>
      <c r="D2" s="1" t="s">
        <v>3</v>
      </c>
      <c r="E2" s="3" t="s">
        <v>80</v>
      </c>
    </row>
    <row r="3" spans="1:12">
      <c r="B3" s="1" t="s">
        <v>5</v>
      </c>
      <c r="C3" s="2" t="s">
        <v>79</v>
      </c>
      <c r="D3" s="1" t="s">
        <v>7</v>
      </c>
      <c r="E3" s="5">
        <v>46189</v>
      </c>
    </row>
    <row r="4" spans="1:12">
      <c r="B4" s="1" t="s">
        <v>34</v>
      </c>
      <c r="C4" s="3" t="s">
        <v>29</v>
      </c>
      <c r="D4" s="1" t="s">
        <v>8</v>
      </c>
      <c r="E4" s="3"/>
    </row>
    <row r="5" spans="1:12">
      <c r="B5" s="1" t="s">
        <v>36</v>
      </c>
      <c r="C5" s="3" t="s">
        <v>30</v>
      </c>
      <c r="D5" s="1" t="s">
        <v>9</v>
      </c>
      <c r="E5" s="3"/>
    </row>
    <row r="9" spans="1:12">
      <c r="A9" s="1" t="s">
        <v>10</v>
      </c>
      <c r="B9" s="1" t="s">
        <v>11</v>
      </c>
      <c r="C9" s="1" t="s">
        <v>12</v>
      </c>
      <c r="D9" s="1" t="s">
        <v>37</v>
      </c>
      <c r="E9" s="1" t="s">
        <v>38</v>
      </c>
      <c r="F9" s="1" t="s">
        <v>39</v>
      </c>
      <c r="G9" s="1" t="s">
        <v>40</v>
      </c>
      <c r="H9" s="1" t="s">
        <v>41</v>
      </c>
      <c r="I9" s="1" t="s">
        <v>42</v>
      </c>
      <c r="J9" s="1" t="s">
        <v>14</v>
      </c>
    </row>
    <row r="10" spans="1:12">
      <c r="A10" s="3">
        <v>1</v>
      </c>
      <c r="B10" s="3" t="s">
        <v>105</v>
      </c>
      <c r="C10" s="3" t="s">
        <v>106</v>
      </c>
      <c r="D10" s="12" t="s">
        <v>45</v>
      </c>
      <c r="E10" s="3"/>
      <c r="F10" s="3" t="s">
        <v>46</v>
      </c>
      <c r="G10" s="3"/>
      <c r="H10" s="3"/>
      <c r="I10" s="3"/>
      <c r="J10" s="3" t="s">
        <v>107</v>
      </c>
    </row>
    <row r="11" spans="1:12">
      <c r="A11" s="3">
        <v>2</v>
      </c>
      <c r="B11" s="3" t="s">
        <v>108</v>
      </c>
      <c r="C11" s="3" t="s">
        <v>109</v>
      </c>
      <c r="D11" s="3" t="s">
        <v>45</v>
      </c>
      <c r="E11" s="3">
        <v>20</v>
      </c>
      <c r="F11" s="3"/>
      <c r="G11" s="3"/>
      <c r="H11" s="3"/>
      <c r="I11" s="3"/>
      <c r="J11" s="3"/>
    </row>
    <row r="12" spans="1:12">
      <c r="A12" s="3">
        <v>3</v>
      </c>
      <c r="B12" s="3" t="s">
        <v>110</v>
      </c>
      <c r="C12" s="3" t="s">
        <v>110</v>
      </c>
      <c r="D12" s="3" t="s">
        <v>49</v>
      </c>
      <c r="E12" s="3">
        <v>200</v>
      </c>
      <c r="F12" s="3"/>
      <c r="G12" s="3"/>
      <c r="H12" s="3" t="s">
        <v>46</v>
      </c>
      <c r="I12" s="3"/>
      <c r="J12" s="3" t="s">
        <v>111</v>
      </c>
      <c r="L12" t="str">
        <f>C12&amp;" "&amp;D12&amp;" "&amp;IF(E12&lt;&gt;"","("&amp;E12&amp;")","")&amp;IF(coffee!C21&lt;&gt;"",",","")</f>
        <v>memo VARCHAR (200),</v>
      </c>
    </row>
    <row r="13" spans="1:12">
      <c r="A13" s="3">
        <v>4</v>
      </c>
      <c r="B13" s="3" t="s">
        <v>58</v>
      </c>
      <c r="C13" s="3" t="s">
        <v>112</v>
      </c>
      <c r="D13" s="3" t="s">
        <v>45</v>
      </c>
      <c r="E13" s="3">
        <v>20</v>
      </c>
      <c r="F13" s="3"/>
      <c r="G13" s="3"/>
      <c r="H13" s="3"/>
      <c r="I13" s="3"/>
      <c r="J13" s="3"/>
    </row>
    <row r="14" spans="1:1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</row>
    <row r="15" spans="1:1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</row>
    <row r="16" spans="1:1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>
        <v>16</v>
      </c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>
        <v>17</v>
      </c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>
        <v>18</v>
      </c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>
        <v>19</v>
      </c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>
        <v>20</v>
      </c>
      <c r="B29" s="3"/>
      <c r="C29" s="3"/>
      <c r="D29" s="3"/>
      <c r="E29" s="3"/>
      <c r="F29" s="3"/>
      <c r="G29" s="3"/>
      <c r="H29" s="3"/>
      <c r="I29" s="3"/>
      <c r="J2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tomihara</dc:creator>
  <cp:keywords/>
  <dc:description/>
  <cp:lastModifiedBy>冨川　遼大</cp:lastModifiedBy>
  <cp:revision/>
  <dcterms:created xsi:type="dcterms:W3CDTF">2016-05-11T06:52:52Z</dcterms:created>
  <dcterms:modified xsi:type="dcterms:W3CDTF">2026-06-23T02:57:05Z</dcterms:modified>
  <cp:category/>
  <cp:contentStatus/>
</cp:coreProperties>
</file>